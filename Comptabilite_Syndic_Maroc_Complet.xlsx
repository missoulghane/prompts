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Général" sheetId="1" state="visible" r:id="rId1"/>
    <sheet xmlns:r="http://schemas.openxmlformats.org/officeDocument/2006/relationships" name="Grand Livre Copropriétaires" sheetId="2" state="visible" r:id="rId2"/>
    <sheet xmlns:r="http://schemas.openxmlformats.org/officeDocument/2006/relationships" name="CPC &amp; Trésorer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DH&quot;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595959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4E78"/>
      <sz val="11"/>
    </font>
    <font>
      <name val="Arial"/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center" vertical="center"/>
    </xf>
    <xf numFmtId="0" fontId="0" fillId="4" borderId="3" pivotButton="0" quotePrefix="0" xfId="0"/>
    <xf numFmtId="164" fontId="5" fillId="4" borderId="3" pivotButton="0" quotePrefix="0" xfId="0"/>
    <xf numFmtId="0" fontId="5" fillId="0" borderId="0" pivotButton="0" quotePrefix="0" xfId="0"/>
    <xf numFmtId="0" fontId="5" fillId="5" borderId="0" pivotButton="0" quotePrefix="0" xfId="0"/>
    <xf numFmtId="0" fontId="3" fillId="6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pivotButton="0" quotePrefix="0" xfId="0"/>
    <xf numFmtId="164" fontId="5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pivotButton="0" quotePrefix="0" xfId="0"/>
    <xf numFmtId="164" fontId="5" fillId="3" borderId="2" pivotButton="0" quotePrefix="0" xfId="0"/>
    <xf numFmtId="0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3" applyAlignment="1" pivotButton="0" quotePrefix="0" xfId="0">
      <alignment horizontal="center" vertical="center"/>
    </xf>
    <xf numFmtId="0" fontId="5" fillId="0" borderId="3" pivotButton="0" quotePrefix="0" xfId="0"/>
    <xf numFmtId="0" fontId="7" fillId="0" borderId="3" pivotButton="0" quotePrefix="0" xfId="0"/>
    <xf numFmtId="0" fontId="0" fillId="5" borderId="3" pivotButton="0" quotePrefix="0" xfId="0"/>
    <xf numFmtId="164" fontId="7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3" customWidth="1" min="3" max="3"/>
    <col width="34" customWidth="1" min="4" max="4"/>
    <col width="38" customWidth="1" min="5" max="5"/>
    <col width="47" customWidth="1" min="6" max="6"/>
    <col width="16" customWidth="1" min="7" max="7"/>
  </cols>
  <sheetData>
    <row r="1">
      <c r="A1" s="1" t="inlineStr">
        <is>
          <t>Comptabilité Syndic de Copropriété - Journal Général</t>
        </is>
      </c>
    </row>
    <row r="2">
      <c r="A2" s="2" t="inlineStr">
        <is>
          <t>Période : Août 2026 | Conformité PCGM &amp; Loi 18-00</t>
        </is>
      </c>
    </row>
    <row r="3"/>
    <row r="4">
      <c r="A4" s="3" t="inlineStr">
        <is>
          <t>Date</t>
        </is>
      </c>
      <c r="B4" s="3" t="inlineStr">
        <is>
          <t>Code Journal</t>
        </is>
      </c>
      <c r="C4" s="3" t="inlineStr">
        <is>
          <t>N° Compte</t>
        </is>
      </c>
      <c r="D4" s="3" t="inlineStr">
        <is>
          <t>Intitulé du compte</t>
        </is>
      </c>
      <c r="E4" s="3" t="inlineStr">
        <is>
          <t>Libellé de l'opération</t>
        </is>
      </c>
      <c r="F4" s="3" t="inlineStr">
        <is>
          <t>Débit (DH)</t>
        </is>
      </c>
      <c r="G4" s="3" t="inlineStr">
        <is>
          <t>Crédit (DH)</t>
        </is>
      </c>
    </row>
    <row r="5">
      <c r="A5" s="4" t="inlineStr">
        <is>
          <t>2026-08-01</t>
        </is>
      </c>
      <c r="B5" s="4" t="inlineStr">
        <is>
          <t>VT</t>
        </is>
      </c>
      <c r="C5" s="4" t="inlineStr">
        <is>
          <t>34150001</t>
        </is>
      </c>
      <c r="D5" s="5" t="inlineStr">
        <is>
          <t>Copropriétaire - Appt 01</t>
        </is>
      </c>
      <c r="E5" s="5" t="inlineStr">
        <is>
          <t>Appel de fonds mois Août 2026</t>
        </is>
      </c>
      <c r="F5" s="6" t="n">
        <v>300</v>
      </c>
      <c r="G5" s="6" t="n"/>
    </row>
    <row r="6">
      <c r="A6" s="7" t="inlineStr">
        <is>
          <t>2026-08-01</t>
        </is>
      </c>
      <c r="B6" s="7" t="inlineStr">
        <is>
          <t>VT</t>
        </is>
      </c>
      <c r="C6" s="7" t="inlineStr">
        <is>
          <t>34150002</t>
        </is>
      </c>
      <c r="D6" s="8" t="inlineStr">
        <is>
          <t>Copropriétaire - Appt 02</t>
        </is>
      </c>
      <c r="E6" s="8" t="inlineStr">
        <is>
          <t>Appel de fonds mois Août 2026</t>
        </is>
      </c>
      <c r="F6" s="9" t="n">
        <v>300</v>
      </c>
      <c r="G6" s="9" t="n"/>
    </row>
    <row r="7">
      <c r="A7" s="4" t="inlineStr">
        <is>
          <t>2026-08-01</t>
        </is>
      </c>
      <c r="B7" s="4" t="inlineStr">
        <is>
          <t>VT</t>
        </is>
      </c>
      <c r="C7" s="4" t="inlineStr">
        <is>
          <t>34150003</t>
        </is>
      </c>
      <c r="D7" s="5" t="inlineStr">
        <is>
          <t>Copropriétaire - Appt 03</t>
        </is>
      </c>
      <c r="E7" s="5" t="inlineStr">
        <is>
          <t>Appel de fonds mois Août 2026</t>
        </is>
      </c>
      <c r="F7" s="6" t="n">
        <v>300</v>
      </c>
      <c r="G7" s="6" t="n"/>
    </row>
    <row r="8">
      <c r="A8" s="7" t="inlineStr">
        <is>
          <t>2026-08-01</t>
        </is>
      </c>
      <c r="B8" s="7" t="inlineStr">
        <is>
          <t>VT</t>
        </is>
      </c>
      <c r="C8" s="7" t="inlineStr">
        <is>
          <t>34150004</t>
        </is>
      </c>
      <c r="D8" s="8" t="inlineStr">
        <is>
          <t>Copropriétaire - Appt 04</t>
        </is>
      </c>
      <c r="E8" s="8" t="inlineStr">
        <is>
          <t>Appel de fonds mois Août 2026</t>
        </is>
      </c>
      <c r="F8" s="9" t="n">
        <v>300</v>
      </c>
      <c r="G8" s="9" t="n"/>
    </row>
    <row r="9">
      <c r="A9" s="4" t="inlineStr">
        <is>
          <t>2026-08-01</t>
        </is>
      </c>
      <c r="B9" s="4" t="inlineStr">
        <is>
          <t>VT</t>
        </is>
      </c>
      <c r="C9" s="4" t="inlineStr">
        <is>
          <t>34150005</t>
        </is>
      </c>
      <c r="D9" s="5" t="inlineStr">
        <is>
          <t>Copropriétaire - Appt 05</t>
        </is>
      </c>
      <c r="E9" s="5" t="inlineStr">
        <is>
          <t>Appel de fonds mois Août 2026</t>
        </is>
      </c>
      <c r="F9" s="6" t="n">
        <v>300</v>
      </c>
      <c r="G9" s="6" t="n"/>
    </row>
    <row r="10">
      <c r="A10" s="7" t="inlineStr">
        <is>
          <t>2026-08-01</t>
        </is>
      </c>
      <c r="B10" s="7" t="inlineStr">
        <is>
          <t>VT</t>
        </is>
      </c>
      <c r="C10" s="7" t="inlineStr">
        <is>
          <t>34150006</t>
        </is>
      </c>
      <c r="D10" s="8" t="inlineStr">
        <is>
          <t>Copropriétaire - Appt 06</t>
        </is>
      </c>
      <c r="E10" s="8" t="inlineStr">
        <is>
          <t>Appel de fonds mois Août 2026</t>
        </is>
      </c>
      <c r="F10" s="9" t="n">
        <v>300</v>
      </c>
      <c r="G10" s="9" t="n"/>
    </row>
    <row r="11">
      <c r="A11" s="4" t="inlineStr">
        <is>
          <t>2026-08-01</t>
        </is>
      </c>
      <c r="B11" s="4" t="inlineStr">
        <is>
          <t>VT</t>
        </is>
      </c>
      <c r="C11" s="4" t="inlineStr">
        <is>
          <t>34150007</t>
        </is>
      </c>
      <c r="D11" s="5" t="inlineStr">
        <is>
          <t>Copropriétaire - Appt 07</t>
        </is>
      </c>
      <c r="E11" s="5" t="inlineStr">
        <is>
          <t>Appel de fonds mois Août 2026</t>
        </is>
      </c>
      <c r="F11" s="6" t="n">
        <v>300</v>
      </c>
      <c r="G11" s="6" t="n"/>
    </row>
    <row r="12">
      <c r="A12" s="7" t="inlineStr">
        <is>
          <t>2026-08-01</t>
        </is>
      </c>
      <c r="B12" s="7" t="inlineStr">
        <is>
          <t>VT</t>
        </is>
      </c>
      <c r="C12" s="7" t="inlineStr">
        <is>
          <t>34150008</t>
        </is>
      </c>
      <c r="D12" s="8" t="inlineStr">
        <is>
          <t>Copropriétaire - Appt 08</t>
        </is>
      </c>
      <c r="E12" s="8" t="inlineStr">
        <is>
          <t>Appel de fonds mois Août 2026</t>
        </is>
      </c>
      <c r="F12" s="9" t="n">
        <v>300</v>
      </c>
      <c r="G12" s="9" t="n"/>
    </row>
    <row r="13">
      <c r="A13" s="4" t="inlineStr">
        <is>
          <t>2026-08-01</t>
        </is>
      </c>
      <c r="B13" s="4" t="inlineStr">
        <is>
          <t>VT</t>
        </is>
      </c>
      <c r="C13" s="4" t="inlineStr">
        <is>
          <t>34150009</t>
        </is>
      </c>
      <c r="D13" s="5" t="inlineStr">
        <is>
          <t>Copropriétaire - Appt 09</t>
        </is>
      </c>
      <c r="E13" s="5" t="inlineStr">
        <is>
          <t>Appel de fonds mois Août 2026</t>
        </is>
      </c>
      <c r="F13" s="6" t="n">
        <v>300</v>
      </c>
      <c r="G13" s="6" t="n"/>
    </row>
    <row r="14">
      <c r="A14" s="7" t="inlineStr">
        <is>
          <t>2026-08-01</t>
        </is>
      </c>
      <c r="B14" s="7" t="inlineStr">
        <is>
          <t>VT</t>
        </is>
      </c>
      <c r="C14" s="7" t="inlineStr">
        <is>
          <t>34150010</t>
        </is>
      </c>
      <c r="D14" s="8" t="inlineStr">
        <is>
          <t>Copropriétaire - Appt 10</t>
        </is>
      </c>
      <c r="E14" s="8" t="inlineStr">
        <is>
          <t>Appel de fonds mois Août 2026</t>
        </is>
      </c>
      <c r="F14" s="9" t="n">
        <v>300</v>
      </c>
      <c r="G14" s="9" t="n"/>
    </row>
    <row r="15">
      <c r="A15" s="4" t="inlineStr">
        <is>
          <t>2026-08-01</t>
        </is>
      </c>
      <c r="B15" s="4" t="inlineStr">
        <is>
          <t>VT</t>
        </is>
      </c>
      <c r="C15" s="4" t="inlineStr">
        <is>
          <t>71810000</t>
        </is>
      </c>
      <c r="D15" s="5" t="inlineStr">
        <is>
          <t>Cotisations des copropriétaires</t>
        </is>
      </c>
      <c r="E15" s="5" t="inlineStr">
        <is>
          <t>Appel de fonds global (10 appts)</t>
        </is>
      </c>
      <c r="F15" s="6" t="n"/>
      <c r="G15" s="6" t="n">
        <v>3000</v>
      </c>
    </row>
    <row r="16">
      <c r="A16" s="7" t="inlineStr">
        <is>
          <t>2026-08-05</t>
        </is>
      </c>
      <c r="B16" s="7" t="inlineStr">
        <is>
          <t>BQ</t>
        </is>
      </c>
      <c r="C16" s="7" t="inlineStr">
        <is>
          <t>51410000</t>
        </is>
      </c>
      <c r="D16" s="8" t="inlineStr">
        <is>
          <t>Banque Attijari</t>
        </is>
      </c>
      <c r="E16" s="8" t="inlineStr">
        <is>
          <t>Virement reçu Appt 01 (Mois Août)</t>
        </is>
      </c>
      <c r="F16" s="9" t="n">
        <v>300</v>
      </c>
      <c r="G16" s="9" t="n"/>
    </row>
    <row r="17">
      <c r="A17" s="4" t="inlineStr">
        <is>
          <t>2026-08-05</t>
        </is>
      </c>
      <c r="B17" s="4" t="inlineStr">
        <is>
          <t>BQ</t>
        </is>
      </c>
      <c r="C17" s="4" t="inlineStr">
        <is>
          <t>34150001</t>
        </is>
      </c>
      <c r="D17" s="5" t="inlineStr">
        <is>
          <t>Copropriétaire - Appt 01</t>
        </is>
      </c>
      <c r="E17" s="5" t="inlineStr">
        <is>
          <t>Règlement appel de fonds Août</t>
        </is>
      </c>
      <c r="F17" s="6" t="n"/>
      <c r="G17" s="6" t="n">
        <v>300</v>
      </c>
    </row>
    <row r="18">
      <c r="A18" s="7" t="inlineStr">
        <is>
          <t>2026-08-06</t>
        </is>
      </c>
      <c r="B18" s="7" t="inlineStr">
        <is>
          <t>CA</t>
        </is>
      </c>
      <c r="C18" s="7" t="inlineStr">
        <is>
          <t>51610000</t>
        </is>
      </c>
      <c r="D18" s="8" t="inlineStr">
        <is>
          <t>Caisse espèces Syndic</t>
        </is>
      </c>
      <c r="E18" s="8" t="inlineStr">
        <is>
          <t>Espèces reçues Appt 03 (Mois Août)</t>
        </is>
      </c>
      <c r="F18" s="9" t="n">
        <v>300</v>
      </c>
      <c r="G18" s="9" t="n"/>
    </row>
    <row r="19">
      <c r="A19" s="4" t="inlineStr">
        <is>
          <t>2026-08-06</t>
        </is>
      </c>
      <c r="B19" s="4" t="inlineStr">
        <is>
          <t>CA</t>
        </is>
      </c>
      <c r="C19" s="4" t="inlineStr">
        <is>
          <t>34150003</t>
        </is>
      </c>
      <c r="D19" s="5" t="inlineStr">
        <is>
          <t>Copropriétaire - Appt 03</t>
        </is>
      </c>
      <c r="E19" s="5" t="inlineStr">
        <is>
          <t>Règlement espèces mois Août</t>
        </is>
      </c>
      <c r="F19" s="6" t="n"/>
      <c r="G19" s="6" t="n">
        <v>300</v>
      </c>
    </row>
    <row r="20">
      <c r="A20" s="7" t="inlineStr">
        <is>
          <t>2026-08-07</t>
        </is>
      </c>
      <c r="B20" s="7" t="inlineStr">
        <is>
          <t>CA</t>
        </is>
      </c>
      <c r="C20" s="7" t="inlineStr">
        <is>
          <t>51610000</t>
        </is>
      </c>
      <c r="D20" s="8" t="inlineStr">
        <is>
          <t>Caisse espèces Syndic</t>
        </is>
      </c>
      <c r="E20" s="8" t="inlineStr">
        <is>
          <t>Espèces reçues Appt 04 (4 mois d'avance)</t>
        </is>
      </c>
      <c r="F20" s="9" t="n">
        <v>1200</v>
      </c>
      <c r="G20" s="9" t="n"/>
    </row>
    <row r="21">
      <c r="A21" s="4" t="inlineStr">
        <is>
          <t>2026-08-07</t>
        </is>
      </c>
      <c r="B21" s="4" t="inlineStr">
        <is>
          <t>CA</t>
        </is>
      </c>
      <c r="C21" s="4" t="inlineStr">
        <is>
          <t>34150004</t>
        </is>
      </c>
      <c r="D21" s="5" t="inlineStr">
        <is>
          <t>Copropriétaire - Appt 04</t>
        </is>
      </c>
      <c r="E21" s="5" t="inlineStr">
        <is>
          <t>Imputation solde appel Août</t>
        </is>
      </c>
      <c r="F21" s="6" t="n"/>
      <c r="G21" s="6" t="n">
        <v>300</v>
      </c>
    </row>
    <row r="22">
      <c r="A22" s="7" t="inlineStr">
        <is>
          <t>2026-08-07</t>
        </is>
      </c>
      <c r="B22" s="7" t="inlineStr">
        <is>
          <t>CA</t>
        </is>
      </c>
      <c r="C22" s="7" t="inlineStr">
        <is>
          <t>44150004</t>
        </is>
      </c>
      <c r="D22" s="8" t="inlineStr">
        <is>
          <t>Copropriétaire - Appt 04</t>
        </is>
      </c>
      <c r="E22" s="8" t="inlineStr">
        <is>
          <t>Avance espèces (Sept, Oct, Nov)</t>
        </is>
      </c>
      <c r="F22" s="9" t="n"/>
      <c r="G22" s="9" t="n">
        <v>900</v>
      </c>
    </row>
    <row r="23">
      <c r="A23" s="4" t="inlineStr">
        <is>
          <t>2026-08-10</t>
        </is>
      </c>
      <c r="B23" s="4" t="inlineStr">
        <is>
          <t>BQ</t>
        </is>
      </c>
      <c r="C23" s="4" t="inlineStr">
        <is>
          <t>51410000</t>
        </is>
      </c>
      <c r="D23" s="5" t="inlineStr">
        <is>
          <t>Banque Attijari</t>
        </is>
      </c>
      <c r="E23" s="5" t="inlineStr">
        <is>
          <t>Virement reçu Appt 02 (Acompte 1000 DH)</t>
        </is>
      </c>
      <c r="F23" s="6" t="n">
        <v>1000</v>
      </c>
      <c r="G23" s="6" t="n"/>
    </row>
    <row r="24">
      <c r="A24" s="7" t="inlineStr">
        <is>
          <t>2026-08-10</t>
        </is>
      </c>
      <c r="B24" s="7" t="inlineStr">
        <is>
          <t>BQ</t>
        </is>
      </c>
      <c r="C24" s="7" t="inlineStr">
        <is>
          <t>34150002</t>
        </is>
      </c>
      <c r="D24" s="8" t="inlineStr">
        <is>
          <t>Copropriétaire - Appt 02</t>
        </is>
      </c>
      <c r="E24" s="8" t="inlineStr">
        <is>
          <t>Imputation solde appel Août</t>
        </is>
      </c>
      <c r="F24" s="9" t="n"/>
      <c r="G24" s="9" t="n">
        <v>300</v>
      </c>
    </row>
    <row r="25">
      <c r="A25" s="4" t="inlineStr">
        <is>
          <t>2026-08-10</t>
        </is>
      </c>
      <c r="B25" s="4" t="inlineStr">
        <is>
          <t>BQ</t>
        </is>
      </c>
      <c r="C25" s="4" t="inlineStr">
        <is>
          <t>44150002</t>
        </is>
      </c>
      <c r="D25" s="5" t="inlineStr">
        <is>
          <t>Copropriétaire - Appt 02</t>
        </is>
      </c>
      <c r="E25" s="5" t="inlineStr">
        <is>
          <t>Avance / Crédit pour mois futurs</t>
        </is>
      </c>
      <c r="F25" s="6" t="n"/>
      <c r="G25" s="6" t="n">
        <v>700</v>
      </c>
    </row>
    <row r="26">
      <c r="A26" s="7" t="inlineStr">
        <is>
          <t>2026-08-12</t>
        </is>
      </c>
      <c r="B26" s="7" t="inlineStr">
        <is>
          <t>AC</t>
        </is>
      </c>
      <c r="C26" s="7" t="inlineStr">
        <is>
          <t>61220000</t>
        </is>
      </c>
      <c r="D26" s="8" t="inlineStr">
        <is>
          <t>Achats de fournitures d'entretien</t>
        </is>
      </c>
      <c r="E26" s="8" t="inlineStr">
        <is>
          <t>Ampoules &amp; produits nettoyage</t>
        </is>
      </c>
      <c r="F26" s="9" t="n">
        <v>150</v>
      </c>
      <c r="G26" s="9" t="n"/>
    </row>
    <row r="27">
      <c r="A27" s="4" t="inlineStr">
        <is>
          <t>2026-08-12</t>
        </is>
      </c>
      <c r="B27" s="4" t="inlineStr">
        <is>
          <t>AC</t>
        </is>
      </c>
      <c r="C27" s="4" t="inlineStr">
        <is>
          <t>44110000</t>
        </is>
      </c>
      <c r="D27" s="5" t="inlineStr">
        <is>
          <t>Fournisseur Bricolage</t>
        </is>
      </c>
      <c r="E27" s="5" t="inlineStr">
        <is>
          <t>Facture N° 1045</t>
        </is>
      </c>
      <c r="F27" s="6" t="n"/>
      <c r="G27" s="6" t="n">
        <v>150</v>
      </c>
    </row>
    <row r="28">
      <c r="A28" s="7" t="inlineStr">
        <is>
          <t>2026-08-13</t>
        </is>
      </c>
      <c r="B28" s="7" t="inlineStr">
        <is>
          <t>CA</t>
        </is>
      </c>
      <c r="C28" s="7" t="inlineStr">
        <is>
          <t>44110000</t>
        </is>
      </c>
      <c r="D28" s="8" t="inlineStr">
        <is>
          <t>Fournisseur Bricolage</t>
        </is>
      </c>
      <c r="E28" s="8" t="inlineStr">
        <is>
          <t>Règlement espèces Facture N° 1045</t>
        </is>
      </c>
      <c r="F28" s="9" t="n">
        <v>150</v>
      </c>
      <c r="G28" s="9" t="n"/>
    </row>
    <row r="29">
      <c r="A29" s="4" t="inlineStr">
        <is>
          <t>2026-08-13</t>
        </is>
      </c>
      <c r="B29" s="4" t="inlineStr">
        <is>
          <t>CA</t>
        </is>
      </c>
      <c r="C29" s="4" t="inlineStr">
        <is>
          <t>51610000</t>
        </is>
      </c>
      <c r="D29" s="5" t="inlineStr">
        <is>
          <t>Caisse espèces Syndic</t>
        </is>
      </c>
      <c r="E29" s="5" t="inlineStr">
        <is>
          <t>Paiement fournitures en espèces</t>
        </is>
      </c>
      <c r="F29" s="6" t="n"/>
      <c r="G29" s="6" t="n">
        <v>150</v>
      </c>
    </row>
    <row r="30">
      <c r="A30" s="7" t="inlineStr">
        <is>
          <t>2026-08-28</t>
        </is>
      </c>
      <c r="B30" s="7" t="inlineStr">
        <is>
          <t>OD</t>
        </is>
      </c>
      <c r="C30" s="7" t="inlineStr">
        <is>
          <t>61710000</t>
        </is>
      </c>
      <c r="D30" s="8" t="inlineStr">
        <is>
          <t>Rémunération du personnel</t>
        </is>
      </c>
      <c r="E30" s="8" t="inlineStr">
        <is>
          <t>Salaire net gardien mois Août</t>
        </is>
      </c>
      <c r="F30" s="9" t="n">
        <v>2500</v>
      </c>
      <c r="G30" s="9" t="n"/>
    </row>
    <row r="31">
      <c r="A31" s="4" t="inlineStr">
        <is>
          <t>2026-08-28</t>
        </is>
      </c>
      <c r="B31" s="4" t="inlineStr">
        <is>
          <t>OD</t>
        </is>
      </c>
      <c r="C31" s="4" t="inlineStr">
        <is>
          <t>44320000</t>
        </is>
      </c>
      <c r="D31" s="5" t="inlineStr">
        <is>
          <t>Personnel - Rémunérations dues</t>
        </is>
      </c>
      <c r="E31" s="5" t="inlineStr">
        <is>
          <t>Salaire gardien à payer</t>
        </is>
      </c>
      <c r="F31" s="6" t="n"/>
      <c r="G31" s="6" t="n">
        <v>2500</v>
      </c>
    </row>
    <row r="32">
      <c r="A32" s="7" t="inlineStr">
        <is>
          <t>2026-08-29</t>
        </is>
      </c>
      <c r="B32" s="7" t="inlineStr">
        <is>
          <t>BQ</t>
        </is>
      </c>
      <c r="C32" s="7" t="inlineStr">
        <is>
          <t>44320000</t>
        </is>
      </c>
      <c r="D32" s="8" t="inlineStr">
        <is>
          <t>Personnel - Rémunérations dues</t>
        </is>
      </c>
      <c r="E32" s="8" t="inlineStr">
        <is>
          <t>Virement salaire gardien</t>
        </is>
      </c>
      <c r="F32" s="9" t="n">
        <v>2500</v>
      </c>
      <c r="G32" s="9" t="n"/>
    </row>
    <row r="33">
      <c r="A33" s="4" t="inlineStr">
        <is>
          <t>2026-08-29</t>
        </is>
      </c>
      <c r="B33" s="4" t="inlineStr">
        <is>
          <t>BQ</t>
        </is>
      </c>
      <c r="C33" s="4" t="inlineStr">
        <is>
          <t>51410000</t>
        </is>
      </c>
      <c r="D33" s="5" t="inlineStr">
        <is>
          <t>Banque Attijari</t>
        </is>
      </c>
      <c r="E33" s="5" t="inlineStr">
        <is>
          <t>Sortie de trésorerie (Salaire)</t>
        </is>
      </c>
      <c r="F33" s="6" t="n"/>
      <c r="G33" s="6" t="n">
        <v>2500</v>
      </c>
    </row>
    <row r="34">
      <c r="A34" s="7" t="inlineStr">
        <is>
          <t>2026-08-31</t>
        </is>
      </c>
      <c r="B34" s="7" t="inlineStr">
        <is>
          <t>BQ</t>
        </is>
      </c>
      <c r="C34" s="7" t="inlineStr">
        <is>
          <t>61470000</t>
        </is>
      </c>
      <c r="D34" s="8" t="inlineStr">
        <is>
          <t>Services bancaires</t>
        </is>
      </c>
      <c r="E34" s="8" t="inlineStr">
        <is>
          <t>Agios &amp; Tenue de compte bancaire</t>
        </is>
      </c>
      <c r="F34" s="9" t="n">
        <v>60</v>
      </c>
      <c r="G34" s="9" t="n"/>
    </row>
    <row r="35">
      <c r="A35" s="4" t="inlineStr">
        <is>
          <t>2026-08-31</t>
        </is>
      </c>
      <c r="B35" s="4" t="inlineStr">
        <is>
          <t>BQ</t>
        </is>
      </c>
      <c r="C35" s="4" t="inlineStr">
        <is>
          <t>51410000</t>
        </is>
      </c>
      <c r="D35" s="5" t="inlineStr">
        <is>
          <t>Banque Attijari</t>
        </is>
      </c>
      <c r="E35" s="5" t="inlineStr">
        <is>
          <t>Prélèvement agios bancaires</t>
        </is>
      </c>
      <c r="F35" s="6" t="n"/>
      <c r="G35" s="6" t="n">
        <v>60</v>
      </c>
    </row>
    <row r="36">
      <c r="A36" s="10" t="inlineStr">
        <is>
          <t>TOTAL GENERAL</t>
        </is>
      </c>
      <c r="B36" s="11" t="n"/>
      <c r="C36" s="11" t="n"/>
      <c r="D36" s="11" t="n"/>
      <c r="E36" s="11" t="n"/>
      <c r="F36" s="12">
        <f>SUM(F5:F35)</f>
        <v/>
      </c>
      <c r="G36" s="12">
        <f>SUM(G5:G35)</f>
        <v/>
      </c>
    </row>
    <row r="37"/>
    <row r="38">
      <c r="E38" s="13" t="inlineStr">
        <is>
          <t>Contrôle d'Équilibre :</t>
        </is>
      </c>
      <c r="F38" s="14">
        <f>IF(F36=G36, " ÉQUILIBRÉ", " DESÉQUILIBRÉ")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5" customWidth="1" min="2" max="2"/>
    <col width="75" customWidth="1" min="3" max="3"/>
    <col width="167" customWidth="1" min="4" max="4"/>
    <col width="18" customWidth="1" min="5" max="5"/>
    <col width="28" customWidth="1" min="6" max="6"/>
  </cols>
  <sheetData>
    <row r="1">
      <c r="A1" s="1" t="inlineStr">
        <is>
          <t>Grand Livre Auxiliaire - Suivi des Copropriétaires</t>
        </is>
      </c>
    </row>
    <row r="2">
      <c r="A2" s="2" t="inlineStr">
        <is>
          <t>État des soldes au 31/08/2026</t>
        </is>
      </c>
    </row>
    <row r="3"/>
    <row r="4">
      <c r="A4" s="15" t="inlineStr">
        <is>
          <t>N° Compte</t>
        </is>
      </c>
      <c r="B4" s="15" t="inlineStr">
        <is>
          <t>Copropriétaire</t>
        </is>
      </c>
      <c r="C4" s="15" t="inlineStr">
        <is>
          <t>Appel de fonds (Débit)</t>
        </is>
      </c>
      <c r="D4" s="15" t="inlineStr">
        <is>
          <t>Règlements (Crédit)</t>
        </is>
      </c>
      <c r="E4" s="15" t="inlineStr">
        <is>
          <t>Solde Net (DH)</t>
        </is>
      </c>
      <c r="F4" s="15" t="inlineStr">
        <is>
          <t>Statut Comptable</t>
        </is>
      </c>
    </row>
    <row r="5">
      <c r="A5" s="16" t="inlineStr">
        <is>
          <t>34150001</t>
        </is>
      </c>
      <c r="B5" s="17" t="inlineStr">
        <is>
          <t>Appartement 01</t>
        </is>
      </c>
      <c r="C5" s="18">
        <f>SUMIF('Journal Général'!$C$5:$C$35, A5, 'Journal Général'!$F$5:$F$35)</f>
        <v/>
      </c>
      <c r="D5" s="18">
        <f>SUMIF('Journal Général'!$C$5:$C$35, A5, 'Journal Général'!$G$5:$G$35) + SUMIF('Journal Général'!$C$5:$C$35, "4415000"&amp;RIGHT(A5,1), 'Journal Général'!$G$5:$G$35)</f>
        <v/>
      </c>
      <c r="E5" s="19">
        <f>C5-D5</f>
        <v/>
      </c>
      <c r="F5" s="20">
        <f>IF(E5=0, " À jour", IF(E5&lt;0, " En avance (Créditeur)", " En retard (Impayé)"))</f>
        <v/>
      </c>
    </row>
    <row r="6">
      <c r="A6" s="21" t="inlineStr">
        <is>
          <t>34150002</t>
        </is>
      </c>
      <c r="B6" s="22" t="inlineStr">
        <is>
          <t>Appartement 02</t>
        </is>
      </c>
      <c r="C6" s="23">
        <f>SUMIF('Journal Général'!$C$5:$C$35, A6, 'Journal Général'!$F$5:$F$35)</f>
        <v/>
      </c>
      <c r="D6" s="23">
        <f>SUMIF('Journal Général'!$C$5:$C$35, A6, 'Journal Général'!$G$5:$G$35) + SUMIF('Journal Général'!$C$5:$C$35, "4415000"&amp;RIGHT(A6,1), 'Journal Général'!$G$5:$G$35)</f>
        <v/>
      </c>
      <c r="E6" s="24">
        <f>C6-D6</f>
        <v/>
      </c>
      <c r="F6" s="25">
        <f>IF(E6=0, " À jour", IF(E6&lt;0, " En avance (Créditeur)", " En retard (Impayé)"))</f>
        <v/>
      </c>
    </row>
    <row r="7">
      <c r="A7" s="16" t="inlineStr">
        <is>
          <t>34150003</t>
        </is>
      </c>
      <c r="B7" s="17" t="inlineStr">
        <is>
          <t>Appartement 03</t>
        </is>
      </c>
      <c r="C7" s="18">
        <f>SUMIF('Journal Général'!$C$5:$C$35, A7, 'Journal Général'!$F$5:$F$35)</f>
        <v/>
      </c>
      <c r="D7" s="18">
        <f>SUMIF('Journal Général'!$C$5:$C$35, A7, 'Journal Général'!$G$5:$G$35) + SUMIF('Journal Général'!$C$5:$C$35, "4415000"&amp;RIGHT(A7,1), 'Journal Général'!$G$5:$G$35)</f>
        <v/>
      </c>
      <c r="E7" s="19">
        <f>C7-D7</f>
        <v/>
      </c>
      <c r="F7" s="20">
        <f>IF(E7=0, " À jour", IF(E7&lt;0, " En avance (Créditeur)", " En retard (Impayé)"))</f>
        <v/>
      </c>
    </row>
    <row r="8">
      <c r="A8" s="21" t="inlineStr">
        <is>
          <t>34150004</t>
        </is>
      </c>
      <c r="B8" s="22" t="inlineStr">
        <is>
          <t>Appartement 04</t>
        </is>
      </c>
      <c r="C8" s="23">
        <f>SUMIF('Journal Général'!$C$5:$C$35, A8, 'Journal Général'!$F$5:$F$35)</f>
        <v/>
      </c>
      <c r="D8" s="23">
        <f>SUMIF('Journal Général'!$C$5:$C$35, A8, 'Journal Général'!$G$5:$G$35) + SUMIF('Journal Général'!$C$5:$C$35, "4415000"&amp;RIGHT(A8,1), 'Journal Général'!$G$5:$G$35)</f>
        <v/>
      </c>
      <c r="E8" s="24">
        <f>C8-D8</f>
        <v/>
      </c>
      <c r="F8" s="25">
        <f>IF(E8=0, " À jour", IF(E8&lt;0, " En avance (Créditeur)", " En retard (Impayé)"))</f>
        <v/>
      </c>
    </row>
    <row r="9">
      <c r="A9" s="16" t="inlineStr">
        <is>
          <t>34150005</t>
        </is>
      </c>
      <c r="B9" s="17" t="inlineStr">
        <is>
          <t>Appartement 05</t>
        </is>
      </c>
      <c r="C9" s="18">
        <f>SUMIF('Journal Général'!$C$5:$C$35, A9, 'Journal Général'!$F$5:$F$35)</f>
        <v/>
      </c>
      <c r="D9" s="18">
        <f>SUMIF('Journal Général'!$C$5:$C$35, A9, 'Journal Général'!$G$5:$G$35) + SUMIF('Journal Général'!$C$5:$C$35, "4415000"&amp;RIGHT(A9,1), 'Journal Général'!$G$5:$G$35)</f>
        <v/>
      </c>
      <c r="E9" s="19">
        <f>C9-D9</f>
        <v/>
      </c>
      <c r="F9" s="20">
        <f>IF(E9=0, " À jour", IF(E9&lt;0, " En avance (Créditeur)", " En retard (Impayé)"))</f>
        <v/>
      </c>
    </row>
    <row r="10">
      <c r="A10" s="21" t="inlineStr">
        <is>
          <t>34150006</t>
        </is>
      </c>
      <c r="B10" s="22" t="inlineStr">
        <is>
          <t>Appartement 06</t>
        </is>
      </c>
      <c r="C10" s="23">
        <f>SUMIF('Journal Général'!$C$5:$C$35, A10, 'Journal Général'!$F$5:$F$35)</f>
        <v/>
      </c>
      <c r="D10" s="23">
        <f>SUMIF('Journal Général'!$C$5:$C$35, A10, 'Journal Général'!$G$5:$G$35) + SUMIF('Journal Général'!$C$5:$C$35, "4415000"&amp;RIGHT(A10,1), 'Journal Général'!$G$5:$G$35)</f>
        <v/>
      </c>
      <c r="E10" s="24">
        <f>C10-D10</f>
        <v/>
      </c>
      <c r="F10" s="25">
        <f>IF(E10=0, " À jour", IF(E10&lt;0, " En avance (Créditeur)", " En retard (Impayé)"))</f>
        <v/>
      </c>
    </row>
    <row r="11">
      <c r="A11" s="16" t="inlineStr">
        <is>
          <t>34150007</t>
        </is>
      </c>
      <c r="B11" s="17" t="inlineStr">
        <is>
          <t>Appartement 07</t>
        </is>
      </c>
      <c r="C11" s="18">
        <f>SUMIF('Journal Général'!$C$5:$C$35, A11, 'Journal Général'!$F$5:$F$35)</f>
        <v/>
      </c>
      <c r="D11" s="18">
        <f>SUMIF('Journal Général'!$C$5:$C$35, A11, 'Journal Général'!$G$5:$G$35) + SUMIF('Journal Général'!$C$5:$C$35, "4415000"&amp;RIGHT(A11,1), 'Journal Général'!$G$5:$G$35)</f>
        <v/>
      </c>
      <c r="E11" s="19">
        <f>C11-D11</f>
        <v/>
      </c>
      <c r="F11" s="20">
        <f>IF(E11=0, " À jour", IF(E11&lt;0, " En avance (Créditeur)", " En retard (Impayé)"))</f>
        <v/>
      </c>
    </row>
    <row r="12">
      <c r="A12" s="21" t="inlineStr">
        <is>
          <t>34150008</t>
        </is>
      </c>
      <c r="B12" s="22" t="inlineStr">
        <is>
          <t>Appartement 08</t>
        </is>
      </c>
      <c r="C12" s="23">
        <f>SUMIF('Journal Général'!$C$5:$C$35, A12, 'Journal Général'!$F$5:$F$35)</f>
        <v/>
      </c>
      <c r="D12" s="23">
        <f>SUMIF('Journal Général'!$C$5:$C$35, A12, 'Journal Général'!$G$5:$G$35) + SUMIF('Journal Général'!$C$5:$C$35, "4415000"&amp;RIGHT(A12,1), 'Journal Général'!$G$5:$G$35)</f>
        <v/>
      </c>
      <c r="E12" s="24">
        <f>C12-D12</f>
        <v/>
      </c>
      <c r="F12" s="25">
        <f>IF(E12=0, " À jour", IF(E12&lt;0, " En avance (Créditeur)", " En retard (Impayé)"))</f>
        <v/>
      </c>
    </row>
    <row r="13">
      <c r="A13" s="16" t="inlineStr">
        <is>
          <t>34150009</t>
        </is>
      </c>
      <c r="B13" s="17" t="inlineStr">
        <is>
          <t>Appartement 09</t>
        </is>
      </c>
      <c r="C13" s="18">
        <f>SUMIF('Journal Général'!$C$5:$C$35, A13, 'Journal Général'!$F$5:$F$35)</f>
        <v/>
      </c>
      <c r="D13" s="18">
        <f>SUMIF('Journal Général'!$C$5:$C$35, A13, 'Journal Général'!$G$5:$G$35) + SUMIF('Journal Général'!$C$5:$C$35, "4415000"&amp;RIGHT(A13,1), 'Journal Général'!$G$5:$G$35)</f>
        <v/>
      </c>
      <c r="E13" s="19">
        <f>C13-D13</f>
        <v/>
      </c>
      <c r="F13" s="20">
        <f>IF(E13=0, " À jour", IF(E13&lt;0, " En avance (Créditeur)", " En retard (Impayé)"))</f>
        <v/>
      </c>
    </row>
    <row r="14">
      <c r="A14" s="21" t="inlineStr">
        <is>
          <t>34150010</t>
        </is>
      </c>
      <c r="B14" s="22" t="inlineStr">
        <is>
          <t>Appartement 10</t>
        </is>
      </c>
      <c r="C14" s="23">
        <f>SUMIF('Journal Général'!$C$5:$C$35, A14, 'Journal Général'!$F$5:$F$35)</f>
        <v/>
      </c>
      <c r="D14" s="23">
        <f>SUMIF('Journal Général'!$C$5:$C$35, A14, 'Journal Général'!$G$5:$G$35) + SUMIF('Journal Général'!$C$5:$C$35, "4415000"&amp;RIGHT(A14,1), 'Journal Général'!$G$5:$G$35)</f>
        <v/>
      </c>
      <c r="E14" s="24">
        <f>C14-D14</f>
        <v/>
      </c>
      <c r="F14" s="25">
        <f>IF(E14=0, " À jour", IF(E14&lt;0, " En avance (Créditeur)", " En retard (Impayé)"))</f>
        <v/>
      </c>
    </row>
    <row r="15">
      <c r="A15" s="10" t="inlineStr">
        <is>
          <t>TOTAL</t>
        </is>
      </c>
      <c r="B15" s="11" t="n"/>
      <c r="C15" s="12">
        <f>SUM(C5:C14)</f>
        <v/>
      </c>
      <c r="D15" s="12">
        <f>SUM(D5:D14)</f>
        <v/>
      </c>
      <c r="E15" s="12">
        <f>SUM(E5:E14)</f>
        <v/>
      </c>
      <c r="F15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42" customWidth="1" min="2" max="2"/>
    <col width="82" customWidth="1" min="3" max="3"/>
    <col width="12" customWidth="1" min="4" max="4"/>
    <col width="44" customWidth="1" min="5" max="5"/>
    <col width="28" customWidth="1" min="6" max="6"/>
    <col width="82" customWidth="1" min="7" max="7"/>
    <col width="82" customWidth="1" min="8" max="8"/>
    <col width="20" customWidth="1" min="9" max="9"/>
  </cols>
  <sheetData>
    <row r="1">
      <c r="A1" s="1" t="inlineStr">
        <is>
          <t>Compte de Produits et Charges (CPC) &amp; Synthèse Trésorerie</t>
        </is>
      </c>
    </row>
    <row r="2">
      <c r="A2" s="2" t="inlineStr">
        <is>
          <t>Période : Août 2026</t>
        </is>
      </c>
    </row>
    <row r="3"/>
    <row r="4">
      <c r="A4" s="26" t="inlineStr">
        <is>
          <t>COMPTE DE PRODUITS ET CHARGES (CPC)</t>
        </is>
      </c>
      <c r="E4" s="26" t="inlineStr">
        <is>
          <t>SYNTHÈSE DE TRÉSORERIE (BANQUE &amp; CAISSE)</t>
        </is>
      </c>
    </row>
    <row r="5">
      <c r="A5" s="3" t="inlineStr">
        <is>
          <t>Poste</t>
        </is>
      </c>
      <c r="B5" s="3" t="inlineStr">
        <is>
          <t>Intitulé des comptes</t>
        </is>
      </c>
      <c r="C5" s="3" t="inlineStr">
        <is>
          <t>Montant (DH)</t>
        </is>
      </c>
      <c r="E5" s="15" t="inlineStr">
        <is>
          <t>Compte</t>
        </is>
      </c>
      <c r="F5" s="15" t="inlineStr">
        <is>
          <t>Libellé</t>
        </is>
      </c>
      <c r="G5" s="15" t="inlineStr">
        <is>
          <t>Entrées (Débit)</t>
        </is>
      </c>
      <c r="H5" s="15" t="inlineStr">
        <is>
          <t>Sorties (Crédit)</t>
        </is>
      </c>
      <c r="I5" s="15" t="inlineStr">
        <is>
          <t>Solde Disponible</t>
        </is>
      </c>
    </row>
    <row r="6">
      <c r="A6" s="4" t="inlineStr">
        <is>
          <t>PRODUITS</t>
        </is>
      </c>
      <c r="B6" s="5" t="inlineStr">
        <is>
          <t>71810000 - Cotisations des copropriétaires</t>
        </is>
      </c>
      <c r="C6" s="6">
        <f>SUMIF('Journal Général'!$C$5:$C$35, "71810000", 'Journal Général'!$G$5:$G$35)</f>
        <v/>
      </c>
      <c r="E6" s="16" t="inlineStr">
        <is>
          <t>51410000</t>
        </is>
      </c>
      <c r="F6" s="17" t="inlineStr">
        <is>
          <t>Banque Attijariwafa Bank</t>
        </is>
      </c>
      <c r="G6" s="18">
        <f>SUMIF('Journal Général'!$C$5:$C$35, "51410000", 'Journal Général'!$F$5:$F$35)</f>
        <v/>
      </c>
      <c r="H6" s="18">
        <f>SUMIF('Journal Général'!$C$5:$C$35, "51410000", 'Journal Général'!$G$5:$G$35)</f>
        <v/>
      </c>
      <c r="I6" s="19">
        <f>G6-H6</f>
        <v/>
      </c>
    </row>
    <row r="7">
      <c r="A7" s="4" t="inlineStr">
        <is>
          <t>CHARGES</t>
        </is>
      </c>
      <c r="B7" s="5" t="inlineStr">
        <is>
          <t>61220000 - Achats de fournitures d'entretien</t>
        </is>
      </c>
      <c r="C7" s="6">
        <f>SUMIF('Journal Général'!$C$5:$C$35, "61220000", 'Journal Général'!$F$5:$F$35)</f>
        <v/>
      </c>
      <c r="E7" s="16" t="inlineStr">
        <is>
          <t>51610000</t>
        </is>
      </c>
      <c r="F7" s="17" t="inlineStr">
        <is>
          <t>Caisse Espèces Syndic</t>
        </is>
      </c>
      <c r="G7" s="18">
        <f>SUMIF('Journal Général'!$C$5:$C$35, "51610000", 'Journal Général'!$F$5:$F$35)</f>
        <v/>
      </c>
      <c r="H7" s="18">
        <f>SUMIF('Journal Général'!$C$5:$C$35, "51610000", 'Journal Général'!$G$5:$G$35)</f>
        <v/>
      </c>
      <c r="I7" s="19">
        <f>G7-H7</f>
        <v/>
      </c>
    </row>
    <row r="8">
      <c r="A8" s="4" t="inlineStr">
        <is>
          <t>CHARGES</t>
        </is>
      </c>
      <c r="B8" s="5" t="inlineStr">
        <is>
          <t>61710000 - Rémunération du personnel (Gardien)</t>
        </is>
      </c>
      <c r="C8" s="6">
        <f>SUMIF('Journal Général'!$C$5:$C$35, "61710000", 'Journal Général'!$F$5:$F$35)</f>
        <v/>
      </c>
      <c r="E8" s="27" t="inlineStr">
        <is>
          <t>TOTAL</t>
        </is>
      </c>
      <c r="F8" s="11" t="inlineStr"/>
      <c r="G8" s="12">
        <f>SUM(G6:G7)</f>
        <v/>
      </c>
      <c r="H8" s="12">
        <f>SUM(H6:H7)</f>
        <v/>
      </c>
      <c r="I8" s="12">
        <f>SUM(I6:I7)</f>
        <v/>
      </c>
    </row>
    <row r="9">
      <c r="A9" s="4" t="inlineStr">
        <is>
          <t>CHARGES</t>
        </is>
      </c>
      <c r="B9" s="5" t="inlineStr">
        <is>
          <t>61470000 - Services bancaires &amp; agios</t>
        </is>
      </c>
      <c r="C9" s="6">
        <f>SUMIF('Journal Général'!$C$5:$C$35, "61470000", 'Journal Général'!$F$5:$F$35)</f>
        <v/>
      </c>
    </row>
    <row r="10">
      <c r="A10" s="28" t="inlineStr">
        <is>
          <t>TOTAL PRODUITS</t>
        </is>
      </c>
      <c r="B10" s="11" t="inlineStr"/>
      <c r="C10" s="12">
        <f>C6</f>
        <v/>
      </c>
    </row>
    <row r="11">
      <c r="A11" s="28" t="inlineStr">
        <is>
          <t>TOTAL CHARGES</t>
        </is>
      </c>
      <c r="B11" s="11" t="inlineStr"/>
      <c r="C11" s="12">
        <f>SUM(C7:C9)</f>
        <v/>
      </c>
    </row>
    <row r="12">
      <c r="A12" s="29" t="inlineStr">
        <is>
          <t>RÉSULTAT (EXCÉDENT)</t>
        </is>
      </c>
      <c r="B12" s="30" t="inlineStr"/>
      <c r="C12" s="31">
        <f>C10-C11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2026-08-06T14:25:06Z</dcterms:created>
  <dcterms:modified xmlns:dcterms="http://purl.org/dc/terms/" xmlns:xsi="http://www.w3.org/2001/XMLSchema-instance" xsi:type="dcterms:W3CDTF">2026-08-06T14:25:06Z</dcterms:modified>
</cp:coreProperties>
</file>